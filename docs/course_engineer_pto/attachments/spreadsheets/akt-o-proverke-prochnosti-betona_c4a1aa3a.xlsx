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1500" yWindow="-150" windowWidth="22260" windowHeight="12645"/>
  </bookViews>
  <sheets>
    <sheet name="Расчёт" sheetId="1" r:id="rId1"/>
    <sheet name="Класс-Прочность" sheetId="2" r:id="rId2"/>
  </sheets>
  <definedNames>
    <definedName name="_xlnm.Print_Area" localSheetId="0">Расчёт!$A$1:$O$44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L23" i="1" s="1"/>
  <c r="K23" i="1" l="1"/>
  <c r="M23" i="1" l="1"/>
  <c r="N23" i="1"/>
  <c r="M30" i="1" s="1"/>
</calcChain>
</file>

<file path=xl/sharedStrings.xml><?xml version="1.0" encoding="utf-8"?>
<sst xmlns="http://schemas.openxmlformats.org/spreadsheetml/2006/main" count="40" uniqueCount="38">
  <si>
    <t>АКТ №</t>
  </si>
  <si>
    <t>(номер акта)</t>
  </si>
  <si>
    <t>(дата)</t>
  </si>
  <si>
    <t>По результатам определения прочности бетона монолитных конструкций неразрушающим методом и оценки фактического класса бетона с учётом характеристик однородности 
(ГОСТ 18105-2018)</t>
  </si>
  <si>
    <t>Объект:</t>
  </si>
  <si>
    <t>( объект строительсва)</t>
  </si>
  <si>
    <t>Проектный класс бетона:</t>
  </si>
  <si>
    <t>Технические средства контроля:</t>
  </si>
  <si>
    <t>(наименование, номер и свидетельство о поверке (калибровке) использованного в измерениях прибора)</t>
  </si>
  <si>
    <t>Методика проведения испытаний:</t>
  </si>
  <si>
    <t>ГОСТ 22690-2015 "Бетоны. Определение прочности механическими методами неразрушающнго контроля", Инструкция по эксплуатации прибора, ГОСТ 18105-2018 "Бетоны контроля и оценки прочности"</t>
  </si>
  <si>
    <t>№</t>
  </si>
  <si>
    <t xml:space="preserve"> (наименование, реквизиты технической документации)</t>
  </si>
  <si>
    <t>Наименование конструктива (участок испытаний)</t>
  </si>
  <si>
    <t>Дата бетонирования</t>
  </si>
  <si>
    <t>Дата испытания</t>
  </si>
  <si>
    <t>Возраст бетона, сут</t>
  </si>
  <si>
    <t>Фактический класс бетона (схема "Г" ГОСТ 18105-2018)</t>
  </si>
  <si>
    <t>Фундаментная плита в осях 1-2/А-В</t>
  </si>
  <si>
    <t>Исполнитель:</t>
  </si>
  <si>
    <t>По состоянию на дату проведения измерений прочность бетона составила</t>
  </si>
  <si>
    <t>Вывод:</t>
  </si>
  <si>
    <t>от проектного. Последующие работы по демонтажу опалубки и нагружению конструкции запрещены. Необходимо проведение повторных измерений.</t>
  </si>
  <si>
    <t>%</t>
  </si>
  <si>
    <t>Минимальная прочность бетона незагруженных конструкций при распалубке поверхностей горизонтальных до 6м - 70%, св.6м - 80% (СП70.13330.2012 "Несущие и ограждающие конструкции"  п.5.17.8 т.5.11)</t>
  </si>
  <si>
    <t>Примечание:</t>
  </si>
  <si>
    <t>Склерометр RGK SK-60, №5605, 
калибровка №14140-КЗ/20 от 28.08.2022</t>
  </si>
  <si>
    <t>Класс бетона в соответствии с РД</t>
  </si>
  <si>
    <t>Доля фактической прочности бетона от проектной, %, *</t>
  </si>
  <si>
    <t>Класс бетона, В</t>
  </si>
  <si>
    <t>Прочность, Мпа</t>
  </si>
  <si>
    <t>Прочность бетона в соответствии с ГОСТ</t>
  </si>
  <si>
    <t>Величина отскока, R</t>
  </si>
  <si>
    <t>Среднее значение величины отскока, Rсред</t>
  </si>
  <si>
    <t>Переводной коэффициент</t>
  </si>
  <si>
    <t>00.00.0000</t>
  </si>
  <si>
    <t>Название объекта</t>
  </si>
  <si>
    <t>В00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</si>
</sst>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Border="1" applyAlignment="1"/>
    <xf numFmtId="0" fontId="2" fillId="0" borderId="0" xfId="0" applyFont="1" applyAlignment="1">
      <alignment wrapText="1"/>
    </xf>
    <xf numFmtId="0" fontId="0" fillId="0" borderId="0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textRotation="90"/>
    </xf>
    <xf numFmtId="2" fontId="0" fillId="0" borderId="0" xfId="0" applyNumberFormat="1" applyBorder="1" applyAlignment="1">
      <alignment horizontal="center" vertical="center" wrapText="1"/>
    </xf>
    <xf numFmtId="0" fontId="4" fillId="0" borderId="23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2" fontId="5" fillId="0" borderId="1" xfId="0" applyNumberFormat="1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14" fontId="7" fillId="0" borderId="1" xfId="0" applyNumberFormat="1" applyFont="1" applyBorder="1" applyAlignment="1"/>
    <xf numFmtId="0" fontId="0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4" fontId="7" fillId="0" borderId="16" xfId="0" applyNumberFormat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 textRotation="90"/>
    </xf>
    <xf numFmtId="0" fontId="7" fillId="0" borderId="18" xfId="0" applyFont="1" applyBorder="1" applyAlignment="1">
      <alignment horizontal="center" vertical="center" textRotation="90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2" fontId="0" fillId="2" borderId="16" xfId="0" applyNumberFormat="1" applyFont="1" applyFill="1" applyBorder="1" applyAlignment="1">
      <alignment horizontal="center" vertical="center" wrapText="1"/>
    </xf>
    <xf numFmtId="2" fontId="0" fillId="2" borderId="17" xfId="0" applyNumberFormat="1" applyFont="1" applyFill="1" applyBorder="1" applyAlignment="1">
      <alignment horizontal="center" vertical="center" wrapText="1"/>
    </xf>
    <xf numFmtId="2" fontId="0" fillId="2" borderId="1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49" fontId="4" fillId="0" borderId="24" xfId="0" applyNumberFormat="1" applyFont="1" applyBorder="1" applyAlignment="1">
      <alignment horizontal="left" wrapText="1"/>
    </xf>
    <xf numFmtId="49" fontId="4" fillId="0" borderId="25" xfId="0" applyNumberFormat="1" applyFont="1" applyBorder="1" applyAlignment="1">
      <alignment horizontal="left" wrapText="1"/>
    </xf>
    <xf numFmtId="0" fontId="0" fillId="2" borderId="16" xfId="0" applyNumberFormat="1" applyFont="1" applyFill="1" applyBorder="1" applyAlignment="1">
      <alignment horizontal="center" vertical="center"/>
    </xf>
    <xf numFmtId="0" fontId="0" fillId="2" borderId="17" xfId="0" applyNumberFormat="1" applyFont="1" applyFill="1" applyBorder="1" applyAlignment="1">
      <alignment horizontal="center" vertical="center"/>
    </xf>
    <xf numFmtId="0" fontId="0" fillId="2" borderId="1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2" borderId="16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2" borderId="20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16" xfId="0" applyNumberFormat="1" applyFont="1" applyFill="1" applyBorder="1" applyAlignment="1">
      <alignment horizontal="center" vertical="center"/>
    </xf>
    <xf numFmtId="0" fontId="7" fillId="3" borderId="17" xfId="0" applyNumberFormat="1" applyFont="1" applyFill="1" applyBorder="1" applyAlignment="1">
      <alignment horizontal="center" vertical="center"/>
    </xf>
    <xf numFmtId="0" fontId="7" fillId="3" borderId="18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7"/>
  <sheetViews>
    <sheetView tabSelected="1" view="pageBreakPreview" topLeftCell="A19" zoomScale="115" zoomScaleNormal="85" zoomScaleSheetLayoutView="115" workbookViewId="0">
      <selection activeCell="D31" sqref="D31:N32"/>
    </sheetView>
  </sheetViews>
  <sheetFormatPr defaultRowHeight="15" x14ac:dyDescent="0.25"/>
  <cols>
    <col min="1" max="1" width="1.42578125" customWidth="1"/>
    <col min="2" max="2" width="3.5703125" customWidth="1"/>
    <col min="3" max="3" width="10" customWidth="1"/>
    <col min="4" max="4" width="13.5703125" customWidth="1"/>
    <col min="5" max="5" width="6.42578125" customWidth="1"/>
    <col min="6" max="6" width="6.140625" customWidth="1"/>
    <col min="7" max="7" width="5.7109375" customWidth="1"/>
    <col min="8" max="8" width="9" customWidth="1"/>
    <col min="9" max="9" width="7.5703125" customWidth="1"/>
    <col min="10" max="10" width="6.42578125" customWidth="1"/>
    <col min="11" max="12" width="7" customWidth="1"/>
    <col min="13" max="13" width="6.85546875" customWidth="1"/>
    <col min="14" max="14" width="7.42578125" customWidth="1"/>
    <col min="15" max="15" width="1.42578125" customWidth="1"/>
  </cols>
  <sheetData>
    <row r="2" spans="3:15" x14ac:dyDescent="0.25">
      <c r="E2" s="11" t="s">
        <v>0</v>
      </c>
      <c r="F2" s="69">
        <v>0</v>
      </c>
      <c r="G2" s="69"/>
      <c r="H2" s="28" t="s">
        <v>35</v>
      </c>
      <c r="I2" s="12"/>
    </row>
    <row r="3" spans="3:15" ht="11.25" customHeight="1" x14ac:dyDescent="0.25">
      <c r="F3" s="76" t="s">
        <v>1</v>
      </c>
      <c r="G3" s="76"/>
      <c r="H3" s="76" t="s">
        <v>2</v>
      </c>
      <c r="I3" s="76"/>
    </row>
    <row r="5" spans="3:15" s="2" customFormat="1" ht="43.5" customHeight="1" x14ac:dyDescent="0.25">
      <c r="C5" s="62" t="s">
        <v>3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</row>
    <row r="8" spans="3:15" ht="15" customHeight="1" x14ac:dyDescent="0.25">
      <c r="C8" s="3" t="s">
        <v>4</v>
      </c>
      <c r="D8" s="60" t="s">
        <v>36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4"/>
    </row>
    <row r="9" spans="3:15" ht="29.25" customHeight="1" x14ac:dyDescent="0.25"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4"/>
    </row>
    <row r="10" spans="3:15" ht="19.5" customHeight="1" x14ac:dyDescent="0.25"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"/>
    </row>
    <row r="11" spans="3:15" ht="10.5" customHeight="1" x14ac:dyDescent="0.25">
      <c r="D11" s="67" t="s">
        <v>5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</row>
    <row r="13" spans="3:15" x14ac:dyDescent="0.25">
      <c r="C13" s="68" t="s">
        <v>6</v>
      </c>
      <c r="D13" s="68"/>
      <c r="E13" s="69" t="s">
        <v>37</v>
      </c>
      <c r="F13" s="69"/>
      <c r="G13" s="4"/>
      <c r="H13" s="4"/>
      <c r="I13" s="4"/>
      <c r="J13" s="4"/>
      <c r="K13" s="4"/>
      <c r="L13" s="4"/>
      <c r="M13" s="4"/>
      <c r="N13" s="4"/>
      <c r="O13" s="4"/>
    </row>
    <row r="14" spans="3:15" ht="9" customHeight="1" x14ac:dyDescent="0.25"/>
    <row r="15" spans="3:15" ht="27" customHeight="1" x14ac:dyDescent="0.25">
      <c r="C15" s="58" t="s">
        <v>7</v>
      </c>
      <c r="D15" s="58"/>
      <c r="E15" s="58"/>
      <c r="F15" s="64" t="s">
        <v>26</v>
      </c>
      <c r="G15" s="65"/>
      <c r="H15" s="65"/>
      <c r="I15" s="65"/>
      <c r="J15" s="65"/>
      <c r="K15" s="65"/>
      <c r="L15" s="65"/>
      <c r="M15" s="65"/>
      <c r="N15" s="65"/>
      <c r="O15" s="6"/>
    </row>
    <row r="16" spans="3:15" ht="3.75" customHeight="1" x14ac:dyDescent="0.25"/>
    <row r="17" spans="2:15" ht="21" customHeight="1" x14ac:dyDescent="0.25">
      <c r="F17" s="63" t="s">
        <v>8</v>
      </c>
      <c r="G17" s="63"/>
      <c r="H17" s="63"/>
      <c r="I17" s="63"/>
      <c r="J17" s="63"/>
      <c r="K17" s="63"/>
      <c r="L17" s="63"/>
      <c r="M17" s="63"/>
      <c r="N17" s="63"/>
      <c r="O17" s="5"/>
    </row>
    <row r="18" spans="2:15" ht="7.5" customHeight="1" x14ac:dyDescent="0.25"/>
    <row r="19" spans="2:15" ht="60" customHeight="1" x14ac:dyDescent="0.25">
      <c r="C19" s="58" t="s">
        <v>9</v>
      </c>
      <c r="D19" s="58"/>
      <c r="E19" s="58"/>
      <c r="F19" s="66" t="s">
        <v>10</v>
      </c>
      <c r="G19" s="66"/>
      <c r="H19" s="66"/>
      <c r="I19" s="66"/>
      <c r="J19" s="66"/>
      <c r="K19" s="66"/>
      <c r="L19" s="66"/>
      <c r="M19" s="66"/>
      <c r="N19" s="66"/>
      <c r="O19" s="2"/>
    </row>
    <row r="20" spans="2:15" ht="10.5" customHeight="1" x14ac:dyDescent="0.25">
      <c r="F20" s="67" t="s">
        <v>12</v>
      </c>
      <c r="G20" s="67"/>
      <c r="H20" s="67"/>
      <c r="I20" s="67"/>
      <c r="J20" s="67"/>
      <c r="K20" s="67"/>
      <c r="L20" s="67"/>
      <c r="M20" s="67"/>
      <c r="N20" s="67"/>
    </row>
    <row r="21" spans="2:15" ht="10.5" customHeight="1" thickBot="1" x14ac:dyDescent="0.3">
      <c r="F21" s="1"/>
      <c r="G21" s="1"/>
      <c r="H21" s="1"/>
      <c r="I21" s="1"/>
      <c r="J21" s="1"/>
      <c r="K21" s="24"/>
      <c r="L21" s="25"/>
      <c r="M21" s="1"/>
      <c r="N21" s="1"/>
    </row>
    <row r="22" spans="2:15" ht="156" customHeight="1" x14ac:dyDescent="0.25">
      <c r="B22" s="7" t="s">
        <v>11</v>
      </c>
      <c r="C22" s="59" t="s">
        <v>13</v>
      </c>
      <c r="D22" s="59"/>
      <c r="E22" s="8" t="s">
        <v>14</v>
      </c>
      <c r="F22" s="8" t="s">
        <v>15</v>
      </c>
      <c r="G22" s="8" t="s">
        <v>16</v>
      </c>
      <c r="H22" s="9" t="s">
        <v>32</v>
      </c>
      <c r="I22" s="9" t="s">
        <v>33</v>
      </c>
      <c r="J22" s="9" t="s">
        <v>27</v>
      </c>
      <c r="K22" s="9" t="s">
        <v>31</v>
      </c>
      <c r="L22" s="9" t="s">
        <v>34</v>
      </c>
      <c r="M22" s="9" t="s">
        <v>17</v>
      </c>
      <c r="N22" s="10" t="s">
        <v>28</v>
      </c>
    </row>
    <row r="23" spans="2:15" x14ac:dyDescent="0.25">
      <c r="B23" s="34">
        <v>1</v>
      </c>
      <c r="C23" s="37" t="s">
        <v>18</v>
      </c>
      <c r="D23" s="38"/>
      <c r="E23" s="43" t="s">
        <v>35</v>
      </c>
      <c r="F23" s="43" t="s">
        <v>35</v>
      </c>
      <c r="G23" s="46">
        <v>0</v>
      </c>
      <c r="H23" s="77"/>
      <c r="I23" s="49" t="e">
        <f>AVERAGE(H23:H28)</f>
        <v>#DIV/0!</v>
      </c>
      <c r="J23" s="78"/>
      <c r="K23" s="55">
        <f>IF(J23='Класс-Прочность'!C13,'Класс-Прочность'!D13)+IF(J23='Класс-Прочность'!C10,'Класс-Прочность'!D10)+IF(J23='Класс-Прочность'!C12,'Класс-Прочность'!D12)+IF(J23='Класс-Прочность'!C11,'Класс-Прочность'!D11)+IF(J23='Класс-Прочность'!C14,'Класс-Прочность'!D14)+IF(J23='Класс-Прочность'!C15,'Класс-Прочность'!D15)+IF(J23='Класс-Прочность'!C16,'Класс-Прочность'!D16)+IF(J23='Класс-Прочность'!C6,'Класс-Прочность'!D6)+IF(J23='Класс-Прочность'!C7,'Класс-Прочность'!D7)+IF(J23='Класс-Прочность'!C8,'Класс-Прочность'!D8)+IF(J23='Класс-Прочность'!C9,'Класс-Прочность'!D9)</f>
        <v>0</v>
      </c>
      <c r="L23" s="55" t="e">
        <f>IF(I23&lt;=20,0.6912)+IF(I23&gt;20,0.822)</f>
        <v>#DIV/0!</v>
      </c>
      <c r="M23" s="70" t="e">
        <f>I23*L23*J23/K23</f>
        <v>#DIV/0!</v>
      </c>
      <c r="N23" s="73" t="e">
        <f>I23*L23*100/K23</f>
        <v>#DIV/0!</v>
      </c>
    </row>
    <row r="24" spans="2:15" x14ac:dyDescent="0.25">
      <c r="B24" s="35"/>
      <c r="C24" s="39"/>
      <c r="D24" s="40"/>
      <c r="E24" s="44"/>
      <c r="F24" s="44"/>
      <c r="G24" s="47"/>
      <c r="H24" s="77"/>
      <c r="I24" s="50"/>
      <c r="J24" s="79"/>
      <c r="K24" s="56"/>
      <c r="L24" s="56"/>
      <c r="M24" s="71"/>
      <c r="N24" s="74"/>
    </row>
    <row r="25" spans="2:15" x14ac:dyDescent="0.25">
      <c r="B25" s="35"/>
      <c r="C25" s="39"/>
      <c r="D25" s="40"/>
      <c r="E25" s="44"/>
      <c r="F25" s="44"/>
      <c r="G25" s="47"/>
      <c r="H25" s="77"/>
      <c r="I25" s="50"/>
      <c r="J25" s="79"/>
      <c r="K25" s="56"/>
      <c r="L25" s="56"/>
      <c r="M25" s="71"/>
      <c r="N25" s="74"/>
    </row>
    <row r="26" spans="2:15" x14ac:dyDescent="0.25">
      <c r="B26" s="35"/>
      <c r="C26" s="39"/>
      <c r="D26" s="40"/>
      <c r="E26" s="44"/>
      <c r="F26" s="44"/>
      <c r="G26" s="47"/>
      <c r="H26" s="29"/>
      <c r="I26" s="50"/>
      <c r="J26" s="79"/>
      <c r="K26" s="56"/>
      <c r="L26" s="56"/>
      <c r="M26" s="71"/>
      <c r="N26" s="74"/>
    </row>
    <row r="27" spans="2:15" x14ac:dyDescent="0.25">
      <c r="B27" s="35"/>
      <c r="C27" s="39"/>
      <c r="D27" s="40"/>
      <c r="E27" s="44"/>
      <c r="F27" s="44"/>
      <c r="G27" s="47"/>
      <c r="H27" s="29"/>
      <c r="I27" s="50"/>
      <c r="J27" s="79"/>
      <c r="K27" s="56"/>
      <c r="L27" s="56"/>
      <c r="M27" s="71"/>
      <c r="N27" s="74"/>
    </row>
    <row r="28" spans="2:15" ht="15.75" thickBot="1" x14ac:dyDescent="0.3">
      <c r="B28" s="36"/>
      <c r="C28" s="41"/>
      <c r="D28" s="42"/>
      <c r="E28" s="45"/>
      <c r="F28" s="45"/>
      <c r="G28" s="48"/>
      <c r="H28" s="30"/>
      <c r="I28" s="51"/>
      <c r="J28" s="80"/>
      <c r="K28" s="57"/>
      <c r="L28" s="57"/>
      <c r="M28" s="72"/>
      <c r="N28" s="75"/>
    </row>
    <row r="29" spans="2:15" x14ac:dyDescent="0.25">
      <c r="B29" s="15"/>
      <c r="C29" s="16"/>
      <c r="D29" s="16"/>
      <c r="E29" s="17"/>
      <c r="F29" s="17"/>
      <c r="G29" s="15"/>
      <c r="H29" s="15"/>
      <c r="I29" s="18"/>
      <c r="J29" s="15"/>
      <c r="K29" s="15"/>
      <c r="L29" s="15"/>
      <c r="M29" s="15"/>
      <c r="N29" s="15"/>
    </row>
    <row r="30" spans="2:15" x14ac:dyDescent="0.25">
      <c r="C30" t="s">
        <v>21</v>
      </c>
      <c r="D30" s="13" t="s">
        <v>20</v>
      </c>
      <c r="E30" s="13"/>
      <c r="F30" s="13"/>
      <c r="G30" s="13"/>
      <c r="H30" s="13"/>
      <c r="I30" s="13"/>
      <c r="J30" s="13"/>
      <c r="K30" s="13"/>
      <c r="L30" s="13"/>
      <c r="M30" s="21" t="e">
        <f>N23</f>
        <v>#DIV/0!</v>
      </c>
      <c r="N30" s="21" t="s">
        <v>23</v>
      </c>
    </row>
    <row r="31" spans="2:15" ht="15" customHeight="1" x14ac:dyDescent="0.25">
      <c r="D31" s="52" t="s">
        <v>22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 spans="2:15" ht="14.25" customHeight="1" x14ac:dyDescent="0.25"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spans="2:14" ht="14.25" customHeight="1" x14ac:dyDescent="0.25">
      <c r="D33" s="14"/>
      <c r="E33" s="14"/>
      <c r="F33" s="14"/>
      <c r="G33" s="14"/>
      <c r="H33" s="14"/>
      <c r="I33" s="14"/>
      <c r="J33" s="14"/>
      <c r="K33" s="23"/>
      <c r="L33" s="26"/>
      <c r="M33" s="14"/>
      <c r="N33" s="14"/>
    </row>
    <row r="34" spans="2:14" ht="25.5" customHeight="1" x14ac:dyDescent="0.25">
      <c r="B34" s="20"/>
      <c r="C34" s="19" t="s">
        <v>25</v>
      </c>
      <c r="D34" s="53" t="s">
        <v>24</v>
      </c>
      <c r="E34" s="53"/>
      <c r="F34" s="53"/>
      <c r="G34" s="53"/>
      <c r="H34" s="53"/>
      <c r="I34" s="53"/>
      <c r="J34" s="53"/>
      <c r="K34" s="53"/>
      <c r="L34" s="53"/>
      <c r="M34" s="53"/>
      <c r="N34" s="54"/>
    </row>
    <row r="35" spans="2:14" ht="14.25" customHeight="1" x14ac:dyDescent="0.25">
      <c r="D35" s="14"/>
      <c r="E35" s="14"/>
      <c r="F35" s="14"/>
      <c r="G35" s="14"/>
      <c r="H35" s="14"/>
      <c r="I35" s="14"/>
      <c r="J35" s="14"/>
      <c r="K35" s="23"/>
      <c r="L35" s="26"/>
      <c r="M35" s="14"/>
      <c r="N35" s="14"/>
    </row>
    <row r="36" spans="2:14" x14ac:dyDescent="0.25">
      <c r="C36" s="31" t="s">
        <v>19</v>
      </c>
      <c r="D36" s="31"/>
      <c r="E36" s="31"/>
      <c r="F36" s="31"/>
    </row>
    <row r="37" spans="2:14" x14ac:dyDescent="0.25">
      <c r="C37" s="31"/>
      <c r="D37" s="31"/>
      <c r="E37" s="31"/>
      <c r="F37" s="31"/>
      <c r="G37" s="32"/>
      <c r="H37" s="32"/>
      <c r="I37" s="32"/>
      <c r="J37" s="33"/>
      <c r="K37" s="33"/>
      <c r="L37" s="33"/>
      <c r="M37" s="33"/>
      <c r="N37" s="33"/>
    </row>
  </sheetData>
  <mergeCells count="32">
    <mergeCell ref="F2:G2"/>
    <mergeCell ref="J23:J28"/>
    <mergeCell ref="M23:M28"/>
    <mergeCell ref="N23:N28"/>
    <mergeCell ref="F3:G3"/>
    <mergeCell ref="H3:I3"/>
    <mergeCell ref="L23:L28"/>
    <mergeCell ref="C19:E19"/>
    <mergeCell ref="C22:D22"/>
    <mergeCell ref="D8:N10"/>
    <mergeCell ref="C5:N5"/>
    <mergeCell ref="F17:N17"/>
    <mergeCell ref="F15:N15"/>
    <mergeCell ref="F19:N19"/>
    <mergeCell ref="F20:N20"/>
    <mergeCell ref="C13:D13"/>
    <mergeCell ref="E13:F13"/>
    <mergeCell ref="C15:E15"/>
    <mergeCell ref="D11:O11"/>
    <mergeCell ref="C37:F37"/>
    <mergeCell ref="G37:I37"/>
    <mergeCell ref="J37:N37"/>
    <mergeCell ref="B23:B28"/>
    <mergeCell ref="C23:D28"/>
    <mergeCell ref="E23:E28"/>
    <mergeCell ref="F23:F28"/>
    <mergeCell ref="G23:G28"/>
    <mergeCell ref="I23:I28"/>
    <mergeCell ref="C36:F36"/>
    <mergeCell ref="D31:N32"/>
    <mergeCell ref="D34:N34"/>
    <mergeCell ref="K23:K28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21"/>
  <sheetViews>
    <sheetView workbookViewId="0">
      <selection activeCell="C12" sqref="C12"/>
    </sheetView>
  </sheetViews>
  <sheetFormatPr defaultRowHeight="15" x14ac:dyDescent="0.25"/>
  <cols>
    <col min="3" max="4" width="18.7109375" customWidth="1"/>
  </cols>
  <sheetData>
    <row r="3" spans="3:4" x14ac:dyDescent="0.25">
      <c r="C3" s="22" t="s">
        <v>29</v>
      </c>
      <c r="D3" s="22" t="s">
        <v>30</v>
      </c>
    </row>
    <row r="5" spans="3:4" x14ac:dyDescent="0.25">
      <c r="C5" s="27"/>
      <c r="D5" s="22">
        <v>4.5</v>
      </c>
    </row>
    <row r="6" spans="3:4" x14ac:dyDescent="0.25">
      <c r="C6" s="27">
        <v>5</v>
      </c>
      <c r="D6" s="22">
        <v>6.42</v>
      </c>
    </row>
    <row r="7" spans="3:4" x14ac:dyDescent="0.25">
      <c r="C7" s="27">
        <v>7.5</v>
      </c>
      <c r="D7" s="22">
        <v>9.6300000000000008</v>
      </c>
    </row>
    <row r="8" spans="3:4" x14ac:dyDescent="0.25">
      <c r="C8" s="27">
        <v>10</v>
      </c>
      <c r="D8" s="22">
        <v>12.84</v>
      </c>
    </row>
    <row r="9" spans="3:4" x14ac:dyDescent="0.25">
      <c r="C9" s="27">
        <v>12.5</v>
      </c>
      <c r="D9" s="22">
        <v>16.05</v>
      </c>
    </row>
    <row r="10" spans="3:4" x14ac:dyDescent="0.25">
      <c r="C10" s="27">
        <v>15</v>
      </c>
      <c r="D10" s="22">
        <v>19.260000000000002</v>
      </c>
    </row>
    <row r="11" spans="3:4" x14ac:dyDescent="0.25">
      <c r="C11" s="27">
        <v>20</v>
      </c>
      <c r="D11" s="22">
        <v>25.69</v>
      </c>
    </row>
    <row r="12" spans="3:4" x14ac:dyDescent="0.25">
      <c r="C12" s="27">
        <v>22.5</v>
      </c>
      <c r="D12" s="22">
        <v>28.9</v>
      </c>
    </row>
    <row r="13" spans="3:4" x14ac:dyDescent="0.25">
      <c r="C13" s="27">
        <v>25</v>
      </c>
      <c r="D13" s="22">
        <v>32.11</v>
      </c>
    </row>
    <row r="14" spans="3:4" x14ac:dyDescent="0.25">
      <c r="C14" s="27">
        <v>27.5</v>
      </c>
      <c r="D14" s="22">
        <v>35.32</v>
      </c>
    </row>
    <row r="15" spans="3:4" x14ac:dyDescent="0.25">
      <c r="C15" s="27">
        <v>30</v>
      </c>
      <c r="D15" s="22">
        <v>38.35</v>
      </c>
    </row>
    <row r="16" spans="3:4" x14ac:dyDescent="0.25">
      <c r="C16" s="27">
        <v>35</v>
      </c>
      <c r="D16" s="22">
        <v>44.95</v>
      </c>
    </row>
    <row r="17" spans="3:4" x14ac:dyDescent="0.25">
      <c r="C17" s="27">
        <v>40</v>
      </c>
      <c r="D17" s="22">
        <v>51.37</v>
      </c>
    </row>
    <row r="18" spans="3:4" x14ac:dyDescent="0.25">
      <c r="C18" s="27">
        <v>45</v>
      </c>
      <c r="D18" s="22">
        <v>57.8</v>
      </c>
    </row>
    <row r="19" spans="3:4" x14ac:dyDescent="0.25">
      <c r="C19" s="27">
        <v>50</v>
      </c>
      <c r="D19" s="22">
        <v>64.2</v>
      </c>
    </row>
    <row r="20" spans="3:4" x14ac:dyDescent="0.25">
      <c r="C20" s="27">
        <v>55</v>
      </c>
      <c r="D20" s="22">
        <v>71.64</v>
      </c>
    </row>
    <row r="21" spans="3:4" x14ac:dyDescent="0.25">
      <c r="C21" s="27">
        <v>60</v>
      </c>
      <c r="D21" s="22">
        <v>77.06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Расчёт</vt:lpstr>
      <vt:lpstr>Класс-Прочность</vt:lpstr>
      <vt:lpstr>Расчёт!Область_печати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2025-03-31T17:48:38Z</dcterms:modified>
</cp:coreProperties>
</file>